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er Question" sheetId="2" state="visible" r:id="rId4"/>
    <sheet name="Findings" sheetId="3" state="visible" r:id="rId5"/>
  </sheets>
  <definedNames>
    <definedName function="false" hidden="true" localSheetId="1" name="_xlnm._FilterDatabase" vbProcedure="false">'Per Question'!$A$1:$L$41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2" authorId="0">
      <text>
        <r>
          <rPr>
            <sz val="10"/>
            <rFont val="Arial"/>
            <family val="2"/>
          </rPr>
          <t xml:space="preserve">Scenario input used in the Day 2 log too. Change it to model other volumes.</t>
        </r>
      </text>
    </comment>
  </commentList>
</comments>
</file>

<file path=xl/sharedStrings.xml><?xml version="1.0" encoding="utf-8"?>
<sst xmlns="http://schemas.openxmlformats.org/spreadsheetml/2006/main" count="253" uniqueCount="102">
  <si>
    <t xml:space="preserve">Day 3: Prompt-only JSON vs Structured Outputs</t>
  </si>
  <si>
    <t xml:space="preserve">claude-haiku-4-5, temperature 0, 20 synthetic change-request FAQs (run Sun Oct 4, 2026). All metrics are formulas over the Per Question tab.</t>
  </si>
  <si>
    <t xml:space="preserve">Metric</t>
  </si>
  <si>
    <t xml:space="preserve">Prompt only</t>
  </si>
  <si>
    <t xml:space="preserve">Schema (structured outputs)</t>
  </si>
  <si>
    <t xml:space="preserve">Schema vs prompt</t>
  </si>
  <si>
    <t xml:space="preserve">Questions</t>
  </si>
  <si>
    <t xml:space="preserve">Valid JSON</t>
  </si>
  <si>
    <t xml:space="preserve">Valid JSON %</t>
  </si>
  <si>
    <t xml:space="preserve">Correct</t>
  </si>
  <si>
    <t xml:space="preserve">Accuracy %</t>
  </si>
  <si>
    <t xml:space="preserve">Total input tokens</t>
  </si>
  <si>
    <t xml:space="preserve">Total output tokens</t>
  </si>
  <si>
    <t xml:space="preserve">Input tokens per question</t>
  </si>
  <si>
    <t xml:space="preserve">Output tokens per question</t>
  </si>
  <si>
    <t xml:space="preserve">Total cost ($)</t>
  </si>
  <si>
    <t xml:space="preserve">Cost per question ($)</t>
  </si>
  <si>
    <t xml:space="preserve">Avg latency (ms)</t>
  </si>
  <si>
    <t xml:space="preserve">First-call latency (ms)</t>
  </si>
  <si>
    <t xml:space="preserve">Avg confidence (correct only)</t>
  </si>
  <si>
    <t xml:space="preserve">Daily cost at volume below ($)</t>
  </si>
  <si>
    <t xml:space="preserve">Assumption</t>
  </si>
  <si>
    <t xml:space="preserve">Questions per day (scenario)</t>
  </si>
  <si>
    <t xml:space="preserve">Prices: Haiku 4.5 at $1.00 input / $5.00 output per million tokens (constants in classify.py; verify against current pricing). Cost column comes from the script, not recomputed here.</t>
  </si>
  <si>
    <t xml:space="preserve">Mode</t>
  </si>
  <si>
    <t xml:space="preserve">ID</t>
  </si>
  <si>
    <t xml:space="preserve">Question</t>
  </si>
  <si>
    <t xml:space="preserve">Expected</t>
  </si>
  <si>
    <t xml:space="preserve">Predicted</t>
  </si>
  <si>
    <t xml:space="preserve">Confidence</t>
  </si>
  <si>
    <t xml:space="preserve">Input tokens</t>
  </si>
  <si>
    <t xml:space="preserve">Output tokens</t>
  </si>
  <si>
    <t xml:space="preserve">Latency (ms)</t>
  </si>
  <si>
    <t xml:space="preserve">Cost ($)</t>
  </si>
  <si>
    <t xml:space="preserve">prompt</t>
  </si>
  <si>
    <t xml:space="preserve">faq-01</t>
  </si>
  <si>
    <t xml:space="preserve">What are the different types of change we can raise, and how do I pick the right one?</t>
  </si>
  <si>
    <t xml:space="preserve">change_types</t>
  </si>
  <si>
    <t xml:space="preserve">INVALID</t>
  </si>
  <si>
    <t xml:space="preserve">faq-02</t>
  </si>
  <si>
    <t xml:space="preserve">wat counts as a standrad change??</t>
  </si>
  <si>
    <t xml:space="preserve">faq-03</t>
  </si>
  <si>
    <t xml:space="preserve">Is a routine SIM provisioning template refresh a pre-approved change or a normal one?</t>
  </si>
  <si>
    <t xml:space="preserve">faq-04</t>
  </si>
  <si>
    <t xml:space="preserve">How many working days in advance must a normal change be submitted for a core network window?</t>
  </si>
  <si>
    <t xml:space="preserve">lead_time_scheduling</t>
  </si>
  <si>
    <t xml:space="preserve">faq-05</t>
  </si>
  <si>
    <t xml:space="preserve">can i get this into tonights maintenance window if i raise it this afternoon</t>
  </si>
  <si>
    <t xml:space="preserve">faq-06</t>
  </si>
  <si>
    <t xml:space="preserve">When does the CAB meet each week, and what is the cutoff for getting my change on the agenda?</t>
  </si>
  <si>
    <t xml:space="preserve">cab_approval</t>
  </si>
  <si>
    <t xml:space="preserve">faq-07</t>
  </si>
  <si>
    <t xml:space="preserve">Who has to sign off on a change before it goes to CAB?</t>
  </si>
  <si>
    <t xml:space="preserve">faq-08</t>
  </si>
  <si>
    <t xml:space="preserve">do ALL changes need cab approval or only the risky ones?</t>
  </si>
  <si>
    <t xml:space="preserve">faq-09</t>
  </si>
  <si>
    <t xml:space="preserve">How do I raise an emergency change while a P1 outage is still in progress?</t>
  </si>
  <si>
    <t xml:space="preserve">emergency_change</t>
  </si>
  <si>
    <t xml:space="preserve">faq-10</t>
  </si>
  <si>
    <t xml:space="preserve">who can approve an emergency change at 3am on a sunday, we cant reach the usual people</t>
  </si>
  <si>
    <t xml:space="preserve">faq-11</t>
  </si>
  <si>
    <t xml:space="preserve">When is the next change freeze, and which systems does it cover?</t>
  </si>
  <si>
    <t xml:space="preserve">freeze_blackout</t>
  </si>
  <si>
    <t xml:space="preserve">faq-12</t>
  </si>
  <si>
    <t xml:space="preserve">Are there any exceptions to the holiday blackout period for RAN software upgrades?</t>
  </si>
  <si>
    <t xml:space="preserve">faq-13</t>
  </si>
  <si>
    <t xml:space="preserve">What does a backout plan need to include before my change can be approved?</t>
  </si>
  <si>
    <t xml:space="preserve">rollback_backout</t>
  </si>
  <si>
    <t xml:space="preserve">faq-14</t>
  </si>
  <si>
    <t xml:space="preserve">How do we decide between rolling back and fixing forward when a change goes wrong mid-window?</t>
  </si>
  <si>
    <t xml:space="preserve">faq-15</t>
  </si>
  <si>
    <t xml:space="preserve">Where do I find the latest change request template?</t>
  </si>
  <si>
    <t xml:space="preserve">documentation_templates</t>
  </si>
  <si>
    <t xml:space="preserve">faq-16</t>
  </si>
  <si>
    <t xml:space="preserve">whcih fields are mandatory on the CR form? my submission keeps bouncing back</t>
  </si>
  <si>
    <t xml:space="preserve">faq-17</t>
  </si>
  <si>
    <t xml:space="preserve">My payroll shows the wrong overtime hours for last month. Who do I contact to fix it?</t>
  </si>
  <si>
    <t xml:space="preserve">out_of_scope</t>
  </si>
  <si>
    <t xml:space="preserve">faq-18</t>
  </si>
  <si>
    <t xml:space="preserve">how do i reset my email password, it says its expired</t>
  </si>
  <si>
    <t xml:space="preserve">faq-19</t>
  </si>
  <si>
    <t xml:space="preserve">We found a billing defect and need to push an urgent fix during the freeze. What approvals do we need?</t>
  </si>
  <si>
    <t xml:space="preserve">faq-20</t>
  </si>
  <si>
    <t xml:space="preserve">Do I need a rollback plan to get a standard change through CAB?</t>
  </si>
  <si>
    <t xml:space="preserve">schema</t>
  </si>
  <si>
    <t xml:space="preserve">What the numbers say</t>
  </si>
  <si>
    <t xml:space="preserve">Topic</t>
  </si>
  <si>
    <t xml:space="preserve">Finding</t>
  </si>
  <si>
    <t xml:space="preserve">Format guarantee</t>
  </si>
  <si>
    <t xml:space="preserve">Prompt-only mode returned valid JSON 1/20 times even though the system prompt said 'no code fences'; Haiku wrapped 19 answers in ```json fences. Schema mode: 20/20 valid.</t>
  </si>
  <si>
    <t xml:space="preserve">Hidden accuracy</t>
  </si>
  <si>
    <t xml:space="preserve">The prompt-mode classifications inside the fences were correct; the 5% is a parsing failure, not a reasoning failure.</t>
  </si>
  <si>
    <t xml:space="preserve">Cost of the guarantee</t>
  </si>
  <si>
    <t xml:space="preserve">Schema mode adds ~236 input tokens per call (the schema is included in the request): about +42% cost. Output tokens barely change.</t>
  </si>
  <si>
    <t xml:space="preserve">Latency</t>
  </si>
  <si>
    <t xml:space="preserve">First schema call was slowest (~1.9 s) while the API compiles the schema; it is cached for 24 hours. Later calls still ~260 ms slower than prompt mode.</t>
  </si>
  <si>
    <t xml:space="preserve">Caveat on 100%</t>
  </si>
  <si>
    <t xml:space="preserve">A perfect score on 20 Claude-written questions likely means the test set is too easy. All confidences were 0.85-1.00 and there were no misses, so the 0.7 routing threshold cannot be calibrated from this data yet.</t>
  </si>
  <si>
    <t xml:space="preserve">Next experiment</t>
  </si>
  <si>
    <t xml:space="preserve">Add 6 harder, real-world-phrased questions (faq-21 to faq-26): ambiguous between categories, vague, or incident-not-change. Rerun --mode schema and check whether misses carry lower confidence.</t>
  </si>
  <si>
    <t xml:space="preserve">Interview line</t>
  </si>
  <si>
    <t xml:space="preserve">Prompt-only JSON: 1/20 valid even with explicit instructions; schema-enforced: 20/20. Schemas make AI output safe to parse; evals tell you whether it's safe to trust.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</si>
</sst>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\+0;\-0;0"/>
    <numFmt numFmtId="167" formatCode="0%"/>
    <numFmt numFmtId="168" formatCode="\+0%;\-0%;0"/>
    <numFmt numFmtId="169" formatCode="#,##0"/>
    <numFmt numFmtId="170" formatCode="\+0%;\-0%;0%"/>
    <numFmt numFmtId="171" formatCode="\$0.000000"/>
    <numFmt numFmtId="172" formatCode="0.00"/>
    <numFmt numFmtId="173" formatCode="\$#,##0.00"/>
    <numFmt numFmtId="17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9C0006"/>
      <name val="Arial"/>
      <family val="0"/>
      <charset val="1"/>
    </font>
    <font>
      <sz val="10"/>
      <color rgb="FF0061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F2F7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4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COUNTIF('Per Question'!$A$2:$A$41,"prompt")</f>
        <v>20</v>
      </c>
      <c r="C5" s="5" t="n">
        <f aca="false">COUNTIF('Per Question'!$A$2:$A$41,"schema")</f>
        <v>20</v>
      </c>
      <c r="D5" s="6"/>
    </row>
    <row r="6" customFormat="false" ht="15" hidden="false" customHeight="false" outlineLevel="0" collapsed="false">
      <c r="A6" s="7" t="s">
        <v>7</v>
      </c>
      <c r="B6" s="8" t="n">
        <f aca="false">COUNTIFS('Per Question'!$A$2:$A$41,"prompt",'Per Question'!$G$2:$G$41,TRUE())</f>
        <v>1</v>
      </c>
      <c r="C6" s="8" t="n">
        <f aca="false">COUNTIFS('Per Question'!$A$2:$A$41,"schema",'Per Question'!$G$2:$G$41,TRUE())</f>
        <v>20</v>
      </c>
      <c r="D6" s="9" t="n">
        <f aca="false">C6-B6</f>
        <v>19</v>
      </c>
    </row>
    <row r="7" customFormat="false" ht="15" hidden="false" customHeight="false" outlineLevel="0" collapsed="false">
      <c r="A7" s="4" t="s">
        <v>8</v>
      </c>
      <c r="B7" s="10" t="n">
        <f aca="false">B6/B5</f>
        <v>0.05</v>
      </c>
      <c r="C7" s="10" t="n">
        <f aca="false">C6/C5</f>
        <v>1</v>
      </c>
      <c r="D7" s="11" t="n">
        <f aca="false">C7-B7</f>
        <v>0.95</v>
      </c>
    </row>
    <row r="8" customFormat="false" ht="15" hidden="false" customHeight="false" outlineLevel="0" collapsed="false">
      <c r="A8" s="7" t="s">
        <v>9</v>
      </c>
      <c r="B8" s="8" t="n">
        <f aca="false">COUNTIFS('Per Question'!$A$2:$A$41,"prompt",'Per Question'!$H$2:$H$41,TRUE())</f>
        <v>1</v>
      </c>
      <c r="C8" s="8" t="n">
        <f aca="false">COUNTIFS('Per Question'!$A$2:$A$41,"schema",'Per Question'!$H$2:$H$41,TRUE())</f>
        <v>20</v>
      </c>
      <c r="D8" s="9" t="n">
        <f aca="false">C8-B8</f>
        <v>19</v>
      </c>
    </row>
    <row r="9" customFormat="false" ht="15" hidden="false" customHeight="false" outlineLevel="0" collapsed="false">
      <c r="A9" s="4" t="s">
        <v>10</v>
      </c>
      <c r="B9" s="10" t="n">
        <f aca="false">B8/B5</f>
        <v>0.05</v>
      </c>
      <c r="C9" s="10" t="n">
        <f aca="false">C8/C5</f>
        <v>1</v>
      </c>
      <c r="D9" s="11" t="n">
        <f aca="false">C9-B9</f>
        <v>0.95</v>
      </c>
    </row>
    <row r="10" customFormat="false" ht="15" hidden="false" customHeight="false" outlineLevel="0" collapsed="false">
      <c r="A10" s="7" t="s">
        <v>11</v>
      </c>
      <c r="B10" s="12" t="n">
        <f aca="false">SUMIFS('Per Question'!$I$2:$I$41,'Per Question'!$A$2:$A$41,"prompt")</f>
        <v>5755</v>
      </c>
      <c r="C10" s="12" t="n">
        <f aca="false">SUMIFS('Per Question'!$I$2:$I$41,'Per Question'!$A$2:$A$41,"schema")</f>
        <v>10475</v>
      </c>
      <c r="D10" s="13" t="n">
        <f aca="false">IFERROR(C10/B10-1,"")</f>
        <v>0.82015638575152</v>
      </c>
    </row>
    <row r="11" customFormat="false" ht="15" hidden="false" customHeight="false" outlineLevel="0" collapsed="false">
      <c r="A11" s="4" t="s">
        <v>12</v>
      </c>
      <c r="B11" s="14" t="n">
        <f aca="false">SUMIFS('Per Question'!$J$2:$J$41,'Per Question'!$A$2:$A$41,"prompt")</f>
        <v>1033</v>
      </c>
      <c r="C11" s="14" t="n">
        <f aca="false">SUMIFS('Per Question'!$J$2:$J$41,'Per Question'!$A$2:$A$41,"schema")</f>
        <v>1004</v>
      </c>
      <c r="D11" s="15" t="n">
        <f aca="false">IFERROR(C11/B11-1,"")</f>
        <v>-0.0280735721200387</v>
      </c>
    </row>
    <row r="12" customFormat="false" ht="15" hidden="false" customHeight="false" outlineLevel="0" collapsed="false">
      <c r="A12" s="7" t="s">
        <v>13</v>
      </c>
      <c r="B12" s="12" t="n">
        <f aca="false">B10/B5</f>
        <v>287.75</v>
      </c>
      <c r="C12" s="12" t="n">
        <f aca="false">C10/C5</f>
        <v>523.75</v>
      </c>
      <c r="D12" s="13" t="n">
        <f aca="false">IFERROR(C12/B12-1,"")</f>
        <v>0.82015638575152</v>
      </c>
    </row>
    <row r="13" customFormat="false" ht="15" hidden="false" customHeight="false" outlineLevel="0" collapsed="false">
      <c r="A13" s="4" t="s">
        <v>14</v>
      </c>
      <c r="B13" s="14" t="n">
        <f aca="false">B11/B5</f>
        <v>51.65</v>
      </c>
      <c r="C13" s="14" t="n">
        <f aca="false">C11/C5</f>
        <v>50.2</v>
      </c>
      <c r="D13" s="15" t="n">
        <f aca="false">IFERROR(C13/B13-1,"")</f>
        <v>-0.0280735721200387</v>
      </c>
    </row>
    <row r="14" customFormat="false" ht="15" hidden="false" customHeight="false" outlineLevel="0" collapsed="false">
      <c r="A14" s="7" t="s">
        <v>15</v>
      </c>
      <c r="B14" s="16" t="n">
        <f aca="false">SUMIFS('Per Question'!$L$2:$L$41,'Per Question'!$A$2:$A$41,"prompt")</f>
        <v>0.01092</v>
      </c>
      <c r="C14" s="16" t="n">
        <f aca="false">SUMIFS('Per Question'!$L$2:$L$41,'Per Question'!$A$2:$A$41,"schema")</f>
        <v>0.015495</v>
      </c>
      <c r="D14" s="13" t="n">
        <f aca="false">IFERROR(C14/B14-1,"")</f>
        <v>0.418956043956044</v>
      </c>
    </row>
    <row r="15" customFormat="false" ht="15" hidden="false" customHeight="false" outlineLevel="0" collapsed="false">
      <c r="A15" s="4" t="s">
        <v>16</v>
      </c>
      <c r="B15" s="17" t="n">
        <f aca="false">B14/B5</f>
        <v>0.000546</v>
      </c>
      <c r="C15" s="17" t="n">
        <f aca="false">C14/C5</f>
        <v>0.00077475</v>
      </c>
      <c r="D15" s="15" t="n">
        <f aca="false">IFERROR(C15/B15-1,"")</f>
        <v>0.418956043956044</v>
      </c>
    </row>
    <row r="16" customFormat="false" ht="15" hidden="false" customHeight="false" outlineLevel="0" collapsed="false">
      <c r="A16" s="7" t="s">
        <v>17</v>
      </c>
      <c r="B16" s="12" t="n">
        <f aca="false">AVERAGEIFS('Per Question'!$K$2:$K$41,'Per Question'!$A$2:$A$41,"prompt")</f>
        <v>914.15</v>
      </c>
      <c r="C16" s="12" t="n">
        <f aca="false">AVERAGEIFS('Per Question'!$K$2:$K$41,'Per Question'!$A$2:$A$41,"schema")</f>
        <v>1203</v>
      </c>
      <c r="D16" s="13" t="n">
        <f aca="false">IFERROR(C16/B16-1,"")</f>
        <v>0.315976590275119</v>
      </c>
    </row>
    <row r="17" customFormat="false" ht="15" hidden="false" customHeight="false" outlineLevel="0" collapsed="false">
      <c r="A17" s="4" t="s">
        <v>18</v>
      </c>
      <c r="B17" s="14" t="n">
        <f aca="false">INDEX('Per Question'!$K$2:$K$41,MATCH("prompt",'Per Question'!$A$2:$A$41,0))</f>
        <v>1183</v>
      </c>
      <c r="C17" s="14" t="n">
        <f aca="false">INDEX('Per Question'!$K$2:$K$41,MATCH("schema",'Per Question'!$A$2:$A$41,0))</f>
        <v>1926</v>
      </c>
      <c r="D17" s="15" t="n">
        <f aca="false">IFERROR(C17/B17-1,"")</f>
        <v>0.628064243448859</v>
      </c>
    </row>
    <row r="18" customFormat="false" ht="15" hidden="false" customHeight="false" outlineLevel="0" collapsed="false">
      <c r="A18" s="7" t="s">
        <v>19</v>
      </c>
      <c r="B18" s="18" t="n">
        <f aca="false">IFERROR(AVERAGEIFS('Per Question'!$F$2:$F$41,'Per Question'!$A$2:$A$41,"prompt",'Per Question'!$H$2:$H$41,TRUE()),"n/a")</f>
        <v>0.95</v>
      </c>
      <c r="C18" s="18" t="n">
        <f aca="false">IFERROR(AVERAGEIFS('Per Question'!$F$2:$F$41,'Per Question'!$A$2:$A$41,"schema",'Per Question'!$H$2:$H$41,TRUE()),"n/a")</f>
        <v>0.9375</v>
      </c>
      <c r="D18" s="19"/>
    </row>
    <row r="19" customFormat="false" ht="15" hidden="false" customHeight="false" outlineLevel="0" collapsed="false">
      <c r="A19" s="4" t="s">
        <v>20</v>
      </c>
      <c r="B19" s="20" t="n">
        <f aca="false">B15*$B$22</f>
        <v>5.46</v>
      </c>
      <c r="C19" s="20" t="n">
        <f aca="false">C15*$B$22</f>
        <v>7.7475</v>
      </c>
      <c r="D19" s="15" t="n">
        <f aca="false">IFERROR(C19/B19-1,"")</f>
        <v>0.418956043956044</v>
      </c>
    </row>
    <row r="21" customFormat="false" ht="15" hidden="false" customHeight="false" outlineLevel="0" collapsed="false">
      <c r="A21" s="21" t="s">
        <v>21</v>
      </c>
    </row>
    <row r="22" customFormat="false" ht="15" hidden="false" customHeight="false" outlineLevel="0" collapsed="false">
      <c r="A22" s="22" t="s">
        <v>22</v>
      </c>
      <c r="B22" s="23" t="n">
        <v>10000</v>
      </c>
    </row>
    <row r="23" customFormat="false" ht="15" hidden="false" customHeight="false" outlineLevel="0" collapsed="false">
      <c r="A23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60"/>
    <col collapsed="false" customWidth="true" hidden="false" outlineLevel="0" max="5" min="4" style="0" width="24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1" min="9" style="0" width="11"/>
    <col collapsed="false" customWidth="true" hidden="false" outlineLevel="0" max="12" min="12" style="0" width="12"/>
  </cols>
  <sheetData>
    <row r="1" customFormat="false" ht="23.85" hidden="false" customHeight="false" outlineLevel="0" collapsed="false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7</v>
      </c>
      <c r="H1" s="3" t="s">
        <v>9</v>
      </c>
      <c r="I1" s="3" t="s">
        <v>30</v>
      </c>
      <c r="J1" s="3" t="s">
        <v>31</v>
      </c>
      <c r="K1" s="3" t="s">
        <v>32</v>
      </c>
      <c r="L1" s="3" t="s">
        <v>33</v>
      </c>
    </row>
    <row r="2" customFormat="false" ht="23.85" hidden="false" customHeight="false" outlineLevel="0" collapsed="false">
      <c r="A2" s="24" t="s">
        <v>34</v>
      </c>
      <c r="B2" s="24" t="s">
        <v>35</v>
      </c>
      <c r="C2" s="25" t="s">
        <v>36</v>
      </c>
      <c r="D2" s="24" t="s">
        <v>37</v>
      </c>
      <c r="E2" s="24" t="s">
        <v>38</v>
      </c>
      <c r="F2" s="26" t="n">
        <v>0</v>
      </c>
      <c r="G2" s="27" t="b">
        <f aca="false">FALSE()</f>
        <v>0</v>
      </c>
      <c r="H2" s="27" t="b">
        <f aca="false">FALSE()</f>
        <v>0</v>
      </c>
      <c r="I2" s="28" t="n">
        <v>291</v>
      </c>
      <c r="J2" s="28" t="n">
        <v>50</v>
      </c>
      <c r="K2" s="28" t="n">
        <v>1183</v>
      </c>
      <c r="L2" s="29" t="n">
        <v>0.000541</v>
      </c>
    </row>
    <row r="3" customFormat="false" ht="15" hidden="false" customHeight="false" outlineLevel="0" collapsed="false">
      <c r="A3" s="24" t="s">
        <v>34</v>
      </c>
      <c r="B3" s="24" t="s">
        <v>39</v>
      </c>
      <c r="C3" s="25" t="s">
        <v>40</v>
      </c>
      <c r="D3" s="24" t="s">
        <v>37</v>
      </c>
      <c r="E3" s="24" t="s">
        <v>38</v>
      </c>
      <c r="F3" s="26" t="n">
        <v>0</v>
      </c>
      <c r="G3" s="27" t="b">
        <f aca="false">FALSE()</f>
        <v>0</v>
      </c>
      <c r="H3" s="27" t="b">
        <f aca="false">FALSE()</f>
        <v>0</v>
      </c>
      <c r="I3" s="28" t="n">
        <v>279</v>
      </c>
      <c r="J3" s="28" t="n">
        <v>50</v>
      </c>
      <c r="K3" s="28" t="n">
        <v>1005</v>
      </c>
      <c r="L3" s="29" t="n">
        <v>0.000529</v>
      </c>
    </row>
    <row r="4" customFormat="false" ht="23.85" hidden="false" customHeight="false" outlineLevel="0" collapsed="false">
      <c r="A4" s="24" t="s">
        <v>34</v>
      </c>
      <c r="B4" s="24" t="s">
        <v>41</v>
      </c>
      <c r="C4" s="25" t="s">
        <v>42</v>
      </c>
      <c r="D4" s="24" t="s">
        <v>37</v>
      </c>
      <c r="E4" s="24" t="s">
        <v>38</v>
      </c>
      <c r="F4" s="26" t="n">
        <v>0</v>
      </c>
      <c r="G4" s="27" t="b">
        <f aca="false">FALSE()</f>
        <v>0</v>
      </c>
      <c r="H4" s="27" t="b">
        <f aca="false">FALSE()</f>
        <v>0</v>
      </c>
      <c r="I4" s="28" t="n">
        <v>290</v>
      </c>
      <c r="J4" s="28" t="n">
        <v>59</v>
      </c>
      <c r="K4" s="28" t="n">
        <v>971</v>
      </c>
      <c r="L4" s="29" t="n">
        <v>0.000585</v>
      </c>
    </row>
    <row r="5" customFormat="false" ht="23.85" hidden="false" customHeight="false" outlineLevel="0" collapsed="false">
      <c r="A5" s="24" t="s">
        <v>34</v>
      </c>
      <c r="B5" s="24" t="s">
        <v>43</v>
      </c>
      <c r="C5" s="25" t="s">
        <v>44</v>
      </c>
      <c r="D5" s="24" t="s">
        <v>45</v>
      </c>
      <c r="E5" s="24" t="s">
        <v>38</v>
      </c>
      <c r="F5" s="26" t="n">
        <v>0</v>
      </c>
      <c r="G5" s="27" t="b">
        <f aca="false">FALSE()</f>
        <v>0</v>
      </c>
      <c r="H5" s="27" t="b">
        <f aca="false">FALSE()</f>
        <v>0</v>
      </c>
      <c r="I5" s="28" t="n">
        <v>289</v>
      </c>
      <c r="J5" s="28" t="n">
        <v>48</v>
      </c>
      <c r="K5" s="28" t="n">
        <v>918</v>
      </c>
      <c r="L5" s="29" t="n">
        <v>0.000529</v>
      </c>
    </row>
    <row r="6" customFormat="false" ht="15" hidden="false" customHeight="false" outlineLevel="0" collapsed="false">
      <c r="A6" s="24" t="s">
        <v>34</v>
      </c>
      <c r="B6" s="24" t="s">
        <v>46</v>
      </c>
      <c r="C6" s="25" t="s">
        <v>47</v>
      </c>
      <c r="D6" s="24" t="s">
        <v>45</v>
      </c>
      <c r="E6" s="24" t="s">
        <v>38</v>
      </c>
      <c r="F6" s="26" t="n">
        <v>0</v>
      </c>
      <c r="G6" s="27" t="b">
        <f aca="false">FALSE()</f>
        <v>0</v>
      </c>
      <c r="H6" s="27" t="b">
        <f aca="false">FALSE()</f>
        <v>0</v>
      </c>
      <c r="I6" s="28" t="n">
        <v>286</v>
      </c>
      <c r="J6" s="28" t="n">
        <v>57</v>
      </c>
      <c r="K6" s="28" t="n">
        <v>1057</v>
      </c>
      <c r="L6" s="29" t="n">
        <v>0.000571</v>
      </c>
    </row>
    <row r="7" customFormat="false" ht="23.85" hidden="false" customHeight="false" outlineLevel="0" collapsed="false">
      <c r="A7" s="24" t="s">
        <v>34</v>
      </c>
      <c r="B7" s="24" t="s">
        <v>48</v>
      </c>
      <c r="C7" s="25" t="s">
        <v>49</v>
      </c>
      <c r="D7" s="24" t="s">
        <v>50</v>
      </c>
      <c r="E7" s="24" t="s">
        <v>38</v>
      </c>
      <c r="F7" s="26" t="n">
        <v>0</v>
      </c>
      <c r="G7" s="27" t="b">
        <f aca="false">FALSE()</f>
        <v>0</v>
      </c>
      <c r="H7" s="27" t="b">
        <f aca="false">FALSE()</f>
        <v>0</v>
      </c>
      <c r="I7" s="28" t="n">
        <v>294</v>
      </c>
      <c r="J7" s="28" t="n">
        <v>44</v>
      </c>
      <c r="K7" s="28" t="n">
        <v>745</v>
      </c>
      <c r="L7" s="29" t="n">
        <v>0.000514</v>
      </c>
    </row>
    <row r="8" customFormat="false" ht="15" hidden="false" customHeight="false" outlineLevel="0" collapsed="false">
      <c r="A8" s="24" t="s">
        <v>34</v>
      </c>
      <c r="B8" s="24" t="s">
        <v>51</v>
      </c>
      <c r="C8" s="25" t="s">
        <v>52</v>
      </c>
      <c r="D8" s="24" t="s">
        <v>50</v>
      </c>
      <c r="E8" s="24" t="s">
        <v>38</v>
      </c>
      <c r="F8" s="26" t="n">
        <v>0</v>
      </c>
      <c r="G8" s="27" t="b">
        <f aca="false">FALSE()</f>
        <v>0</v>
      </c>
      <c r="H8" s="27" t="b">
        <f aca="false">FALSE()</f>
        <v>0</v>
      </c>
      <c r="I8" s="28" t="n">
        <v>286</v>
      </c>
      <c r="J8" s="28" t="n">
        <v>56</v>
      </c>
      <c r="K8" s="28" t="n">
        <v>1040</v>
      </c>
      <c r="L8" s="29" t="n">
        <v>0.000566</v>
      </c>
    </row>
    <row r="9" customFormat="false" ht="15" hidden="false" customHeight="false" outlineLevel="0" collapsed="false">
      <c r="A9" s="24" t="s">
        <v>34</v>
      </c>
      <c r="B9" s="24" t="s">
        <v>53</v>
      </c>
      <c r="C9" s="25" t="s">
        <v>54</v>
      </c>
      <c r="D9" s="24" t="s">
        <v>50</v>
      </c>
      <c r="E9" s="24" t="s">
        <v>38</v>
      </c>
      <c r="F9" s="26" t="n">
        <v>0</v>
      </c>
      <c r="G9" s="27" t="b">
        <f aca="false">FALSE()</f>
        <v>0</v>
      </c>
      <c r="H9" s="27" t="b">
        <f aca="false">FALSE()</f>
        <v>0</v>
      </c>
      <c r="I9" s="28" t="n">
        <v>284</v>
      </c>
      <c r="J9" s="28" t="n">
        <v>51</v>
      </c>
      <c r="K9" s="28" t="n">
        <v>923</v>
      </c>
      <c r="L9" s="29" t="n">
        <v>0.000539</v>
      </c>
    </row>
    <row r="10" customFormat="false" ht="23.85" hidden="false" customHeight="false" outlineLevel="0" collapsed="false">
      <c r="A10" s="24" t="s">
        <v>34</v>
      </c>
      <c r="B10" s="24" t="s">
        <v>55</v>
      </c>
      <c r="C10" s="25" t="s">
        <v>56</v>
      </c>
      <c r="D10" s="24" t="s">
        <v>57</v>
      </c>
      <c r="E10" s="24" t="s">
        <v>38</v>
      </c>
      <c r="F10" s="26" t="n">
        <v>0</v>
      </c>
      <c r="G10" s="27" t="b">
        <f aca="false">FALSE()</f>
        <v>0</v>
      </c>
      <c r="H10" s="27" t="b">
        <f aca="false">FALSE()</f>
        <v>0</v>
      </c>
      <c r="I10" s="28" t="n">
        <v>290</v>
      </c>
      <c r="J10" s="28" t="n">
        <v>47</v>
      </c>
      <c r="K10" s="28" t="n">
        <v>831</v>
      </c>
      <c r="L10" s="29" t="n">
        <v>0.000525</v>
      </c>
    </row>
    <row r="11" customFormat="false" ht="23.85" hidden="false" customHeight="false" outlineLevel="0" collapsed="false">
      <c r="A11" s="24" t="s">
        <v>34</v>
      </c>
      <c r="B11" s="24" t="s">
        <v>58</v>
      </c>
      <c r="C11" s="25" t="s">
        <v>59</v>
      </c>
      <c r="D11" s="24" t="s">
        <v>57</v>
      </c>
      <c r="E11" s="24" t="s">
        <v>38</v>
      </c>
      <c r="F11" s="26" t="n">
        <v>0</v>
      </c>
      <c r="G11" s="27" t="b">
        <f aca="false">FALSE()</f>
        <v>0</v>
      </c>
      <c r="H11" s="27" t="b">
        <f aca="false">FALSE()</f>
        <v>0</v>
      </c>
      <c r="I11" s="28" t="n">
        <v>291</v>
      </c>
      <c r="J11" s="28" t="n">
        <v>48</v>
      </c>
      <c r="K11" s="28" t="n">
        <v>959</v>
      </c>
      <c r="L11" s="29" t="n">
        <v>0.000531</v>
      </c>
    </row>
    <row r="12" customFormat="false" ht="15" hidden="false" customHeight="false" outlineLevel="0" collapsed="false">
      <c r="A12" s="24" t="s">
        <v>34</v>
      </c>
      <c r="B12" s="24" t="s">
        <v>60</v>
      </c>
      <c r="C12" s="25" t="s">
        <v>61</v>
      </c>
      <c r="D12" s="24" t="s">
        <v>62</v>
      </c>
      <c r="E12" s="24" t="s">
        <v>38</v>
      </c>
      <c r="F12" s="26" t="n">
        <v>0</v>
      </c>
      <c r="G12" s="27" t="b">
        <f aca="false">FALSE()</f>
        <v>0</v>
      </c>
      <c r="H12" s="27" t="b">
        <f aca="false">FALSE()</f>
        <v>0</v>
      </c>
      <c r="I12" s="28" t="n">
        <v>285</v>
      </c>
      <c r="J12" s="28" t="n">
        <v>54</v>
      </c>
      <c r="K12" s="28" t="n">
        <v>782</v>
      </c>
      <c r="L12" s="29" t="n">
        <v>0.000555</v>
      </c>
    </row>
    <row r="13" customFormat="false" ht="23.85" hidden="false" customHeight="false" outlineLevel="0" collapsed="false">
      <c r="A13" s="24" t="s">
        <v>34</v>
      </c>
      <c r="B13" s="24" t="s">
        <v>63</v>
      </c>
      <c r="C13" s="25" t="s">
        <v>64</v>
      </c>
      <c r="D13" s="24" t="s">
        <v>62</v>
      </c>
      <c r="E13" s="24" t="s">
        <v>38</v>
      </c>
      <c r="F13" s="26" t="n">
        <v>0</v>
      </c>
      <c r="G13" s="27" t="b">
        <f aca="false">FALSE()</f>
        <v>0</v>
      </c>
      <c r="H13" s="27" t="b">
        <f aca="false">FALSE()</f>
        <v>0</v>
      </c>
      <c r="I13" s="28" t="n">
        <v>288</v>
      </c>
      <c r="J13" s="28" t="n">
        <v>52</v>
      </c>
      <c r="K13" s="28" t="n">
        <v>832</v>
      </c>
      <c r="L13" s="29" t="n">
        <v>0.000548</v>
      </c>
    </row>
    <row r="14" customFormat="false" ht="23.85" hidden="false" customHeight="false" outlineLevel="0" collapsed="false">
      <c r="A14" s="24" t="s">
        <v>34</v>
      </c>
      <c r="B14" s="24" t="s">
        <v>65</v>
      </c>
      <c r="C14" s="25" t="s">
        <v>66</v>
      </c>
      <c r="D14" s="24" t="s">
        <v>67</v>
      </c>
      <c r="E14" s="24" t="s">
        <v>38</v>
      </c>
      <c r="F14" s="26" t="n">
        <v>0</v>
      </c>
      <c r="G14" s="27" t="b">
        <f aca="false">FALSE()</f>
        <v>0</v>
      </c>
      <c r="H14" s="27" t="b">
        <f aca="false">FALSE()</f>
        <v>0</v>
      </c>
      <c r="I14" s="28" t="n">
        <v>287</v>
      </c>
      <c r="J14" s="28" t="n">
        <v>56</v>
      </c>
      <c r="K14" s="28" t="n">
        <v>882</v>
      </c>
      <c r="L14" s="29" t="n">
        <v>0.000567</v>
      </c>
    </row>
    <row r="15" customFormat="false" ht="23.85" hidden="false" customHeight="false" outlineLevel="0" collapsed="false">
      <c r="A15" s="24" t="s">
        <v>34</v>
      </c>
      <c r="B15" s="24" t="s">
        <v>68</v>
      </c>
      <c r="C15" s="25" t="s">
        <v>69</v>
      </c>
      <c r="D15" s="24" t="s">
        <v>67</v>
      </c>
      <c r="E15" s="24" t="s">
        <v>38</v>
      </c>
      <c r="F15" s="26" t="n">
        <v>0</v>
      </c>
      <c r="G15" s="27" t="b">
        <f aca="false">FALSE()</f>
        <v>0</v>
      </c>
      <c r="H15" s="27" t="b">
        <f aca="false">FALSE()</f>
        <v>0</v>
      </c>
      <c r="I15" s="28" t="n">
        <v>290</v>
      </c>
      <c r="J15" s="28" t="n">
        <v>51</v>
      </c>
      <c r="K15" s="28" t="n">
        <v>832</v>
      </c>
      <c r="L15" s="29" t="n">
        <v>0.000545</v>
      </c>
    </row>
    <row r="16" customFormat="false" ht="15" hidden="false" customHeight="false" outlineLevel="0" collapsed="false">
      <c r="A16" s="24" t="s">
        <v>34</v>
      </c>
      <c r="B16" s="24" t="s">
        <v>70</v>
      </c>
      <c r="C16" s="25" t="s">
        <v>71</v>
      </c>
      <c r="D16" s="24" t="s">
        <v>72</v>
      </c>
      <c r="E16" s="24" t="s">
        <v>72</v>
      </c>
      <c r="F16" s="26" t="n">
        <v>0.95</v>
      </c>
      <c r="G16" s="30" t="b">
        <f aca="false">TRUE()</f>
        <v>1</v>
      </c>
      <c r="H16" s="30" t="b">
        <f aca="false">TRUE()</f>
        <v>1</v>
      </c>
      <c r="I16" s="28" t="n">
        <v>281</v>
      </c>
      <c r="J16" s="28" t="n">
        <v>45</v>
      </c>
      <c r="K16" s="28" t="n">
        <v>832</v>
      </c>
      <c r="L16" s="29" t="n">
        <v>0.000506</v>
      </c>
    </row>
    <row r="17" customFormat="false" ht="23.85" hidden="false" customHeight="false" outlineLevel="0" collapsed="false">
      <c r="A17" s="24" t="s">
        <v>34</v>
      </c>
      <c r="B17" s="24" t="s">
        <v>73</v>
      </c>
      <c r="C17" s="25" t="s">
        <v>74</v>
      </c>
      <c r="D17" s="24" t="s">
        <v>72</v>
      </c>
      <c r="E17" s="24" t="s">
        <v>38</v>
      </c>
      <c r="F17" s="26" t="n">
        <v>0</v>
      </c>
      <c r="G17" s="27" t="b">
        <f aca="false">FALSE()</f>
        <v>0</v>
      </c>
      <c r="H17" s="27" t="b">
        <f aca="false">FALSE()</f>
        <v>0</v>
      </c>
      <c r="I17" s="28" t="n">
        <v>288</v>
      </c>
      <c r="J17" s="28" t="n">
        <v>52</v>
      </c>
      <c r="K17" s="28" t="n">
        <v>879</v>
      </c>
      <c r="L17" s="29" t="n">
        <v>0.000548</v>
      </c>
    </row>
    <row r="18" customFormat="false" ht="23.85" hidden="false" customHeight="false" outlineLevel="0" collapsed="false">
      <c r="A18" s="24" t="s">
        <v>34</v>
      </c>
      <c r="B18" s="24" t="s">
        <v>75</v>
      </c>
      <c r="C18" s="25" t="s">
        <v>76</v>
      </c>
      <c r="D18" s="24" t="s">
        <v>77</v>
      </c>
      <c r="E18" s="24" t="s">
        <v>38</v>
      </c>
      <c r="F18" s="26" t="n">
        <v>0</v>
      </c>
      <c r="G18" s="27" t="b">
        <f aca="false">FALSE()</f>
        <v>0</v>
      </c>
      <c r="H18" s="27" t="b">
        <f aca="false">FALSE()</f>
        <v>0</v>
      </c>
      <c r="I18" s="28" t="n">
        <v>291</v>
      </c>
      <c r="J18" s="28" t="n">
        <v>51</v>
      </c>
      <c r="K18" s="28" t="n">
        <v>1001</v>
      </c>
      <c r="L18" s="29" t="n">
        <v>0.000546</v>
      </c>
    </row>
    <row r="19" customFormat="false" ht="15" hidden="false" customHeight="false" outlineLevel="0" collapsed="false">
      <c r="A19" s="24" t="s">
        <v>34</v>
      </c>
      <c r="B19" s="24" t="s">
        <v>78</v>
      </c>
      <c r="C19" s="25" t="s">
        <v>79</v>
      </c>
      <c r="D19" s="24" t="s">
        <v>77</v>
      </c>
      <c r="E19" s="24" t="s">
        <v>38</v>
      </c>
      <c r="F19" s="26" t="n">
        <v>0</v>
      </c>
      <c r="G19" s="27" t="b">
        <f aca="false">FALSE()</f>
        <v>0</v>
      </c>
      <c r="H19" s="27" t="b">
        <f aca="false">FALSE()</f>
        <v>0</v>
      </c>
      <c r="I19" s="28" t="n">
        <v>283</v>
      </c>
      <c r="J19" s="28" t="n">
        <v>48</v>
      </c>
      <c r="K19" s="28" t="n">
        <v>852</v>
      </c>
      <c r="L19" s="29" t="n">
        <v>0.000523</v>
      </c>
    </row>
    <row r="20" customFormat="false" ht="23.85" hidden="false" customHeight="false" outlineLevel="0" collapsed="false">
      <c r="A20" s="24" t="s">
        <v>34</v>
      </c>
      <c r="B20" s="24" t="s">
        <v>80</v>
      </c>
      <c r="C20" s="25" t="s">
        <v>81</v>
      </c>
      <c r="D20" s="24" t="s">
        <v>57</v>
      </c>
      <c r="E20" s="24" t="s">
        <v>38</v>
      </c>
      <c r="F20" s="26" t="n">
        <v>0</v>
      </c>
      <c r="G20" s="27" t="b">
        <f aca="false">FALSE()</f>
        <v>0</v>
      </c>
      <c r="H20" s="27" t="b">
        <f aca="false">FALSE()</f>
        <v>0</v>
      </c>
      <c r="I20" s="28" t="n">
        <v>295</v>
      </c>
      <c r="J20" s="28" t="n">
        <v>50</v>
      </c>
      <c r="K20" s="28" t="n">
        <v>787</v>
      </c>
      <c r="L20" s="29" t="n">
        <v>0.000545</v>
      </c>
    </row>
    <row r="21" customFormat="false" ht="15" hidden="false" customHeight="false" outlineLevel="0" collapsed="false">
      <c r="A21" s="24" t="s">
        <v>34</v>
      </c>
      <c r="B21" s="24" t="s">
        <v>82</v>
      </c>
      <c r="C21" s="25" t="s">
        <v>83</v>
      </c>
      <c r="D21" s="24" t="s">
        <v>67</v>
      </c>
      <c r="E21" s="24" t="s">
        <v>38</v>
      </c>
      <c r="F21" s="26" t="n">
        <v>0</v>
      </c>
      <c r="G21" s="27" t="b">
        <f aca="false">FALSE()</f>
        <v>0</v>
      </c>
      <c r="H21" s="27" t="b">
        <f aca="false">FALSE()</f>
        <v>0</v>
      </c>
      <c r="I21" s="28" t="n">
        <v>287</v>
      </c>
      <c r="J21" s="28" t="n">
        <v>64</v>
      </c>
      <c r="K21" s="28" t="n">
        <v>972</v>
      </c>
      <c r="L21" s="29" t="n">
        <v>0.000607</v>
      </c>
    </row>
    <row r="22" customFormat="false" ht="23.85" hidden="false" customHeight="false" outlineLevel="0" collapsed="false">
      <c r="A22" s="31" t="s">
        <v>84</v>
      </c>
      <c r="B22" s="31" t="s">
        <v>35</v>
      </c>
      <c r="C22" s="32" t="s">
        <v>36</v>
      </c>
      <c r="D22" s="31" t="s">
        <v>37</v>
      </c>
      <c r="E22" s="31" t="s">
        <v>37</v>
      </c>
      <c r="F22" s="33" t="n">
        <v>0.95</v>
      </c>
      <c r="G22" s="34" t="b">
        <f aca="false">TRUE()</f>
        <v>1</v>
      </c>
      <c r="H22" s="34" t="b">
        <f aca="false">TRUE()</f>
        <v>1</v>
      </c>
      <c r="I22" s="35" t="n">
        <v>527</v>
      </c>
      <c r="J22" s="35" t="n">
        <v>46</v>
      </c>
      <c r="K22" s="35" t="n">
        <v>1926</v>
      </c>
      <c r="L22" s="36" t="n">
        <v>0.000757</v>
      </c>
    </row>
    <row r="23" customFormat="false" ht="15" hidden="false" customHeight="false" outlineLevel="0" collapsed="false">
      <c r="A23" s="31" t="s">
        <v>84</v>
      </c>
      <c r="B23" s="31" t="s">
        <v>39</v>
      </c>
      <c r="C23" s="32" t="s">
        <v>40</v>
      </c>
      <c r="D23" s="31" t="s">
        <v>37</v>
      </c>
      <c r="E23" s="31" t="s">
        <v>37</v>
      </c>
      <c r="F23" s="33" t="n">
        <v>0.95</v>
      </c>
      <c r="G23" s="34" t="b">
        <f aca="false">TRUE()</f>
        <v>1</v>
      </c>
      <c r="H23" s="34" t="b">
        <f aca="false">TRUE()</f>
        <v>1</v>
      </c>
      <c r="I23" s="35" t="n">
        <v>515</v>
      </c>
      <c r="J23" s="35" t="n">
        <v>45</v>
      </c>
      <c r="K23" s="35" t="n">
        <v>946</v>
      </c>
      <c r="L23" s="36" t="n">
        <v>0.00074</v>
      </c>
    </row>
    <row r="24" customFormat="false" ht="23.85" hidden="false" customHeight="false" outlineLevel="0" collapsed="false">
      <c r="A24" s="31" t="s">
        <v>84</v>
      </c>
      <c r="B24" s="31" t="s">
        <v>41</v>
      </c>
      <c r="C24" s="32" t="s">
        <v>42</v>
      </c>
      <c r="D24" s="31" t="s">
        <v>37</v>
      </c>
      <c r="E24" s="31" t="s">
        <v>37</v>
      </c>
      <c r="F24" s="33" t="n">
        <v>0.85</v>
      </c>
      <c r="G24" s="34" t="b">
        <f aca="false">TRUE()</f>
        <v>1</v>
      </c>
      <c r="H24" s="34" t="b">
        <f aca="false">TRUE()</f>
        <v>1</v>
      </c>
      <c r="I24" s="35" t="n">
        <v>526</v>
      </c>
      <c r="J24" s="35" t="n">
        <v>69</v>
      </c>
      <c r="K24" s="35" t="n">
        <v>1789</v>
      </c>
      <c r="L24" s="36" t="n">
        <v>0.000871</v>
      </c>
    </row>
    <row r="25" customFormat="false" ht="23.85" hidden="false" customHeight="false" outlineLevel="0" collapsed="false">
      <c r="A25" s="31" t="s">
        <v>84</v>
      </c>
      <c r="B25" s="31" t="s">
        <v>43</v>
      </c>
      <c r="C25" s="32" t="s">
        <v>44</v>
      </c>
      <c r="D25" s="31" t="s">
        <v>45</v>
      </c>
      <c r="E25" s="31" t="s">
        <v>45</v>
      </c>
      <c r="F25" s="33" t="n">
        <v>0.95</v>
      </c>
      <c r="G25" s="34" t="b">
        <f aca="false">TRUE()</f>
        <v>1</v>
      </c>
      <c r="H25" s="34" t="b">
        <f aca="false">TRUE()</f>
        <v>1</v>
      </c>
      <c r="I25" s="35" t="n">
        <v>525</v>
      </c>
      <c r="J25" s="35" t="n">
        <v>53</v>
      </c>
      <c r="K25" s="35" t="n">
        <v>1017</v>
      </c>
      <c r="L25" s="36" t="n">
        <v>0.00079</v>
      </c>
    </row>
    <row r="26" customFormat="false" ht="15" hidden="false" customHeight="false" outlineLevel="0" collapsed="false">
      <c r="A26" s="31" t="s">
        <v>84</v>
      </c>
      <c r="B26" s="31" t="s">
        <v>46</v>
      </c>
      <c r="C26" s="32" t="s">
        <v>47</v>
      </c>
      <c r="D26" s="31" t="s">
        <v>45</v>
      </c>
      <c r="E26" s="31" t="s">
        <v>45</v>
      </c>
      <c r="F26" s="33" t="n">
        <v>0.95</v>
      </c>
      <c r="G26" s="34" t="b">
        <f aca="false">TRUE()</f>
        <v>1</v>
      </c>
      <c r="H26" s="34" t="b">
        <f aca="false">TRUE()</f>
        <v>1</v>
      </c>
      <c r="I26" s="35" t="n">
        <v>522</v>
      </c>
      <c r="J26" s="35" t="n">
        <v>55</v>
      </c>
      <c r="K26" s="35" t="n">
        <v>1107</v>
      </c>
      <c r="L26" s="36" t="n">
        <v>0.000797</v>
      </c>
    </row>
    <row r="27" customFormat="false" ht="23.85" hidden="false" customHeight="false" outlineLevel="0" collapsed="false">
      <c r="A27" s="31" t="s">
        <v>84</v>
      </c>
      <c r="B27" s="31" t="s">
        <v>48</v>
      </c>
      <c r="C27" s="32" t="s">
        <v>49</v>
      </c>
      <c r="D27" s="31" t="s">
        <v>50</v>
      </c>
      <c r="E27" s="31" t="s">
        <v>50</v>
      </c>
      <c r="F27" s="33" t="n">
        <v>0.95</v>
      </c>
      <c r="G27" s="34" t="b">
        <f aca="false">TRUE()</f>
        <v>1</v>
      </c>
      <c r="H27" s="34" t="b">
        <f aca="false">TRUE()</f>
        <v>1</v>
      </c>
      <c r="I27" s="35" t="n">
        <v>530</v>
      </c>
      <c r="J27" s="35" t="n">
        <v>49</v>
      </c>
      <c r="K27" s="35" t="n">
        <v>1493</v>
      </c>
      <c r="L27" s="36" t="n">
        <v>0.000775</v>
      </c>
    </row>
    <row r="28" customFormat="false" ht="15" hidden="false" customHeight="false" outlineLevel="0" collapsed="false">
      <c r="A28" s="31" t="s">
        <v>84</v>
      </c>
      <c r="B28" s="31" t="s">
        <v>51</v>
      </c>
      <c r="C28" s="32" t="s">
        <v>52</v>
      </c>
      <c r="D28" s="31" t="s">
        <v>50</v>
      </c>
      <c r="E28" s="31" t="s">
        <v>50</v>
      </c>
      <c r="F28" s="33" t="n">
        <v>0.85</v>
      </c>
      <c r="G28" s="34" t="b">
        <f aca="false">TRUE()</f>
        <v>1</v>
      </c>
      <c r="H28" s="34" t="b">
        <f aca="false">TRUE()</f>
        <v>1</v>
      </c>
      <c r="I28" s="35" t="n">
        <v>522</v>
      </c>
      <c r="J28" s="35" t="n">
        <v>51</v>
      </c>
      <c r="K28" s="35" t="n">
        <v>975</v>
      </c>
      <c r="L28" s="36" t="n">
        <v>0.000777</v>
      </c>
    </row>
    <row r="29" customFormat="false" ht="15" hidden="false" customHeight="false" outlineLevel="0" collapsed="false">
      <c r="A29" s="31" t="s">
        <v>84</v>
      </c>
      <c r="B29" s="31" t="s">
        <v>53</v>
      </c>
      <c r="C29" s="32" t="s">
        <v>54</v>
      </c>
      <c r="D29" s="31" t="s">
        <v>50</v>
      </c>
      <c r="E29" s="31" t="s">
        <v>50</v>
      </c>
      <c r="F29" s="33" t="n">
        <v>0.95</v>
      </c>
      <c r="G29" s="34" t="b">
        <f aca="false">TRUE()</f>
        <v>1</v>
      </c>
      <c r="H29" s="34" t="b">
        <f aca="false">TRUE()</f>
        <v>1</v>
      </c>
      <c r="I29" s="35" t="n">
        <v>520</v>
      </c>
      <c r="J29" s="35" t="n">
        <v>50</v>
      </c>
      <c r="K29" s="35" t="n">
        <v>916</v>
      </c>
      <c r="L29" s="36" t="n">
        <v>0.00077</v>
      </c>
    </row>
    <row r="30" customFormat="false" ht="23.85" hidden="false" customHeight="false" outlineLevel="0" collapsed="false">
      <c r="A30" s="31" t="s">
        <v>84</v>
      </c>
      <c r="B30" s="31" t="s">
        <v>55</v>
      </c>
      <c r="C30" s="32" t="s">
        <v>56</v>
      </c>
      <c r="D30" s="31" t="s">
        <v>57</v>
      </c>
      <c r="E30" s="31" t="s">
        <v>57</v>
      </c>
      <c r="F30" s="33" t="n">
        <v>0.95</v>
      </c>
      <c r="G30" s="34" t="b">
        <f aca="false">TRUE()</f>
        <v>1</v>
      </c>
      <c r="H30" s="34" t="b">
        <f aca="false">TRUE()</f>
        <v>1</v>
      </c>
      <c r="I30" s="35" t="n">
        <v>526</v>
      </c>
      <c r="J30" s="35" t="n">
        <v>51</v>
      </c>
      <c r="K30" s="35" t="n">
        <v>1466</v>
      </c>
      <c r="L30" s="36" t="n">
        <v>0.000781</v>
      </c>
    </row>
    <row r="31" customFormat="false" ht="23.85" hidden="false" customHeight="false" outlineLevel="0" collapsed="false">
      <c r="A31" s="31" t="s">
        <v>84</v>
      </c>
      <c r="B31" s="31" t="s">
        <v>58</v>
      </c>
      <c r="C31" s="32" t="s">
        <v>59</v>
      </c>
      <c r="D31" s="31" t="s">
        <v>57</v>
      </c>
      <c r="E31" s="31" t="s">
        <v>57</v>
      </c>
      <c r="F31" s="33" t="n">
        <v>0.95</v>
      </c>
      <c r="G31" s="34" t="b">
        <f aca="false">TRUE()</f>
        <v>1</v>
      </c>
      <c r="H31" s="34" t="b">
        <f aca="false">TRUE()</f>
        <v>1</v>
      </c>
      <c r="I31" s="35" t="n">
        <v>527</v>
      </c>
      <c r="J31" s="35" t="n">
        <v>43</v>
      </c>
      <c r="K31" s="35" t="n">
        <v>971</v>
      </c>
      <c r="L31" s="36" t="n">
        <v>0.000742</v>
      </c>
    </row>
    <row r="32" customFormat="false" ht="15" hidden="false" customHeight="false" outlineLevel="0" collapsed="false">
      <c r="A32" s="31" t="s">
        <v>84</v>
      </c>
      <c r="B32" s="31" t="s">
        <v>60</v>
      </c>
      <c r="C32" s="32" t="s">
        <v>61</v>
      </c>
      <c r="D32" s="31" t="s">
        <v>62</v>
      </c>
      <c r="E32" s="31" t="s">
        <v>62</v>
      </c>
      <c r="F32" s="33" t="n">
        <v>0.95</v>
      </c>
      <c r="G32" s="34" t="b">
        <f aca="false">TRUE()</f>
        <v>1</v>
      </c>
      <c r="H32" s="34" t="b">
        <f aca="false">TRUE()</f>
        <v>1</v>
      </c>
      <c r="I32" s="35" t="n">
        <v>521</v>
      </c>
      <c r="J32" s="35" t="n">
        <v>49</v>
      </c>
      <c r="K32" s="35" t="n">
        <v>900</v>
      </c>
      <c r="L32" s="36" t="n">
        <v>0.000766</v>
      </c>
    </row>
    <row r="33" customFormat="false" ht="23.85" hidden="false" customHeight="false" outlineLevel="0" collapsed="false">
      <c r="A33" s="31" t="s">
        <v>84</v>
      </c>
      <c r="B33" s="31" t="s">
        <v>63</v>
      </c>
      <c r="C33" s="32" t="s">
        <v>64</v>
      </c>
      <c r="D33" s="31" t="s">
        <v>62</v>
      </c>
      <c r="E33" s="31" t="s">
        <v>62</v>
      </c>
      <c r="F33" s="33" t="n">
        <v>0.95</v>
      </c>
      <c r="G33" s="34" t="b">
        <f aca="false">TRUE()</f>
        <v>1</v>
      </c>
      <c r="H33" s="34" t="b">
        <f aca="false">TRUE()</f>
        <v>1</v>
      </c>
      <c r="I33" s="35" t="n">
        <v>524</v>
      </c>
      <c r="J33" s="35" t="n">
        <v>50</v>
      </c>
      <c r="K33" s="35" t="n">
        <v>941</v>
      </c>
      <c r="L33" s="36" t="n">
        <v>0.000774</v>
      </c>
    </row>
    <row r="34" customFormat="false" ht="23.85" hidden="false" customHeight="false" outlineLevel="0" collapsed="false">
      <c r="A34" s="31" t="s">
        <v>84</v>
      </c>
      <c r="B34" s="31" t="s">
        <v>65</v>
      </c>
      <c r="C34" s="32" t="s">
        <v>66</v>
      </c>
      <c r="D34" s="31" t="s">
        <v>67</v>
      </c>
      <c r="E34" s="31" t="s">
        <v>67</v>
      </c>
      <c r="F34" s="33" t="n">
        <v>0.95</v>
      </c>
      <c r="G34" s="34" t="b">
        <f aca="false">TRUE()</f>
        <v>1</v>
      </c>
      <c r="H34" s="34" t="b">
        <f aca="false">TRUE()</f>
        <v>1</v>
      </c>
      <c r="I34" s="35" t="n">
        <v>523</v>
      </c>
      <c r="J34" s="35" t="n">
        <v>54</v>
      </c>
      <c r="K34" s="35" t="n">
        <v>1551</v>
      </c>
      <c r="L34" s="36" t="n">
        <v>0.000793</v>
      </c>
    </row>
    <row r="35" customFormat="false" ht="23.85" hidden="false" customHeight="false" outlineLevel="0" collapsed="false">
      <c r="A35" s="31" t="s">
        <v>84</v>
      </c>
      <c r="B35" s="31" t="s">
        <v>68</v>
      </c>
      <c r="C35" s="32" t="s">
        <v>69</v>
      </c>
      <c r="D35" s="31" t="s">
        <v>67</v>
      </c>
      <c r="E35" s="31" t="s">
        <v>67</v>
      </c>
      <c r="F35" s="33" t="n">
        <v>0.95</v>
      </c>
      <c r="G35" s="34" t="b">
        <f aca="false">TRUE()</f>
        <v>1</v>
      </c>
      <c r="H35" s="34" t="b">
        <f aca="false">TRUE()</f>
        <v>1</v>
      </c>
      <c r="I35" s="35" t="n">
        <v>526</v>
      </c>
      <c r="J35" s="35" t="n">
        <v>52</v>
      </c>
      <c r="K35" s="35" t="n">
        <v>919</v>
      </c>
      <c r="L35" s="36" t="n">
        <v>0.000786</v>
      </c>
    </row>
    <row r="36" customFormat="false" ht="15" hidden="false" customHeight="false" outlineLevel="0" collapsed="false">
      <c r="A36" s="31" t="s">
        <v>84</v>
      </c>
      <c r="B36" s="31" t="s">
        <v>70</v>
      </c>
      <c r="C36" s="32" t="s">
        <v>71</v>
      </c>
      <c r="D36" s="31" t="s">
        <v>72</v>
      </c>
      <c r="E36" s="31" t="s">
        <v>72</v>
      </c>
      <c r="F36" s="33" t="n">
        <v>0.95</v>
      </c>
      <c r="G36" s="34" t="b">
        <f aca="false">TRUE()</f>
        <v>1</v>
      </c>
      <c r="H36" s="34" t="b">
        <f aca="false">TRUE()</f>
        <v>1</v>
      </c>
      <c r="I36" s="35" t="n">
        <v>517</v>
      </c>
      <c r="J36" s="35" t="n">
        <v>44</v>
      </c>
      <c r="K36" s="35" t="n">
        <v>971</v>
      </c>
      <c r="L36" s="36" t="n">
        <v>0.000737</v>
      </c>
    </row>
    <row r="37" customFormat="false" ht="23.85" hidden="false" customHeight="false" outlineLevel="0" collapsed="false">
      <c r="A37" s="31" t="s">
        <v>84</v>
      </c>
      <c r="B37" s="31" t="s">
        <v>73</v>
      </c>
      <c r="C37" s="32" t="s">
        <v>74</v>
      </c>
      <c r="D37" s="31" t="s">
        <v>72</v>
      </c>
      <c r="E37" s="31" t="s">
        <v>72</v>
      </c>
      <c r="F37" s="33" t="n">
        <v>0.95</v>
      </c>
      <c r="G37" s="34" t="b">
        <f aca="false">TRUE()</f>
        <v>1</v>
      </c>
      <c r="H37" s="34" t="b">
        <f aca="false">TRUE()</f>
        <v>1</v>
      </c>
      <c r="I37" s="35" t="n">
        <v>524</v>
      </c>
      <c r="J37" s="35" t="n">
        <v>48</v>
      </c>
      <c r="K37" s="35" t="n">
        <v>937</v>
      </c>
      <c r="L37" s="36" t="n">
        <v>0.000764</v>
      </c>
    </row>
    <row r="38" customFormat="false" ht="23.85" hidden="false" customHeight="false" outlineLevel="0" collapsed="false">
      <c r="A38" s="31" t="s">
        <v>84</v>
      </c>
      <c r="B38" s="31" t="s">
        <v>75</v>
      </c>
      <c r="C38" s="32" t="s">
        <v>76</v>
      </c>
      <c r="D38" s="31" t="s">
        <v>77</v>
      </c>
      <c r="E38" s="31" t="s">
        <v>77</v>
      </c>
      <c r="F38" s="33" t="n">
        <v>1</v>
      </c>
      <c r="G38" s="34" t="b">
        <f aca="false">TRUE()</f>
        <v>1</v>
      </c>
      <c r="H38" s="34" t="b">
        <f aca="false">TRUE()</f>
        <v>1</v>
      </c>
      <c r="I38" s="35" t="n">
        <v>527</v>
      </c>
      <c r="J38" s="35" t="n">
        <v>42</v>
      </c>
      <c r="K38" s="35" t="n">
        <v>1347</v>
      </c>
      <c r="L38" s="36" t="n">
        <v>0.000737</v>
      </c>
    </row>
    <row r="39" customFormat="false" ht="15" hidden="false" customHeight="false" outlineLevel="0" collapsed="false">
      <c r="A39" s="31" t="s">
        <v>84</v>
      </c>
      <c r="B39" s="31" t="s">
        <v>78</v>
      </c>
      <c r="C39" s="32" t="s">
        <v>79</v>
      </c>
      <c r="D39" s="31" t="s">
        <v>77</v>
      </c>
      <c r="E39" s="31" t="s">
        <v>77</v>
      </c>
      <c r="F39" s="33" t="n">
        <v>0.95</v>
      </c>
      <c r="G39" s="34" t="b">
        <f aca="false">TRUE()</f>
        <v>1</v>
      </c>
      <c r="H39" s="34" t="b">
        <f aca="false">TRUE()</f>
        <v>1</v>
      </c>
      <c r="I39" s="35" t="n">
        <v>519</v>
      </c>
      <c r="J39" s="35" t="n">
        <v>44</v>
      </c>
      <c r="K39" s="35" t="n">
        <v>1614</v>
      </c>
      <c r="L39" s="36" t="n">
        <v>0.000739</v>
      </c>
    </row>
    <row r="40" customFormat="false" ht="23.85" hidden="false" customHeight="false" outlineLevel="0" collapsed="false">
      <c r="A40" s="31" t="s">
        <v>84</v>
      </c>
      <c r="B40" s="31" t="s">
        <v>80</v>
      </c>
      <c r="C40" s="32" t="s">
        <v>81</v>
      </c>
      <c r="D40" s="31" t="s">
        <v>57</v>
      </c>
      <c r="E40" s="31" t="s">
        <v>57</v>
      </c>
      <c r="F40" s="33" t="n">
        <v>0.95</v>
      </c>
      <c r="G40" s="34" t="b">
        <f aca="false">TRUE()</f>
        <v>1</v>
      </c>
      <c r="H40" s="34" t="b">
        <f aca="false">TRUE()</f>
        <v>1</v>
      </c>
      <c r="I40" s="35" t="n">
        <v>531</v>
      </c>
      <c r="J40" s="35" t="n">
        <v>50</v>
      </c>
      <c r="K40" s="35" t="n">
        <v>1202</v>
      </c>
      <c r="L40" s="36" t="n">
        <v>0.000781</v>
      </c>
    </row>
    <row r="41" customFormat="false" ht="15" hidden="false" customHeight="false" outlineLevel="0" collapsed="false">
      <c r="A41" s="31" t="s">
        <v>84</v>
      </c>
      <c r="B41" s="31" t="s">
        <v>82</v>
      </c>
      <c r="C41" s="32" t="s">
        <v>83</v>
      </c>
      <c r="D41" s="31" t="s">
        <v>67</v>
      </c>
      <c r="E41" s="31" t="s">
        <v>67</v>
      </c>
      <c r="F41" s="33" t="n">
        <v>0.85</v>
      </c>
      <c r="G41" s="34" t="b">
        <f aca="false">TRUE()</f>
        <v>1</v>
      </c>
      <c r="H41" s="34" t="b">
        <f aca="false">TRUE()</f>
        <v>1</v>
      </c>
      <c r="I41" s="35" t="n">
        <v>523</v>
      </c>
      <c r="J41" s="35" t="n">
        <v>59</v>
      </c>
      <c r="K41" s="35" t="n">
        <v>1072</v>
      </c>
      <c r="L41" s="36" t="n">
        <v>0.000818</v>
      </c>
    </row>
  </sheetData>
  <autoFilter ref="A1:L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85</v>
      </c>
    </row>
    <row r="3" customFormat="false" ht="15" hidden="false" customHeight="false" outlineLevel="0" collapsed="false">
      <c r="A3" s="37" t="s">
        <v>86</v>
      </c>
      <c r="B3" s="37" t="s">
        <v>87</v>
      </c>
    </row>
    <row r="4" customFormat="false" ht="23.85" hidden="false" customHeight="false" outlineLevel="0" collapsed="false">
      <c r="A4" s="38" t="s">
        <v>88</v>
      </c>
      <c r="B4" s="25" t="s">
        <v>89</v>
      </c>
    </row>
    <row r="5" customFormat="false" ht="15" hidden="false" customHeight="false" outlineLevel="0" collapsed="false">
      <c r="A5" s="38" t="s">
        <v>90</v>
      </c>
      <c r="B5" s="25" t="s">
        <v>91</v>
      </c>
    </row>
    <row r="6" customFormat="false" ht="23.85" hidden="false" customHeight="false" outlineLevel="0" collapsed="false">
      <c r="A6" s="38" t="s">
        <v>92</v>
      </c>
      <c r="B6" s="25" t="s">
        <v>93</v>
      </c>
    </row>
    <row r="7" customFormat="false" ht="23.85" hidden="false" customHeight="false" outlineLevel="0" collapsed="false">
      <c r="A7" s="38" t="s">
        <v>94</v>
      </c>
      <c r="B7" s="25" t="s">
        <v>95</v>
      </c>
    </row>
    <row r="8" customFormat="false" ht="23.85" hidden="false" customHeight="false" outlineLevel="0" collapsed="false">
      <c r="A8" s="38" t="s">
        <v>96</v>
      </c>
      <c r="B8" s="25" t="s">
        <v>97</v>
      </c>
    </row>
    <row r="9" customFormat="false" ht="23.85" hidden="false" customHeight="false" outlineLevel="0" collapsed="false">
      <c r="A9" s="38" t="s">
        <v>98</v>
      </c>
      <c r="B9" s="25" t="s">
        <v>99</v>
      </c>
    </row>
    <row r="10" customFormat="false" ht="23.85" hidden="false" customHeight="false" outlineLevel="0" collapsed="false">
      <c r="A10" s="38" t="s">
        <v>100</v>
      </c>
      <c r="B10" s="2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2026-10-04T19:09:09Z</dcterms:created>
  <dc:creator>openpyxl</dc:creator>
  <dc:description/>
  <dc:language>en-US</dc:language>
  <cp:lastModifiedBy/>
  <dcterms:modified xsi:type="dcterms:W3CDTF">2026-10-04T19:09:09Z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